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0"/>
  </bookViews>
  <sheets>
    <sheet name="시트1" sheetId="1" r:id="rId1"/>
    <sheet name="시트2 32품목 스티커" sheetId="2" r:id="rId2"/>
    <sheet name="시트3 스티커 발행" sheetId="3" r:id="rId3"/>
  </sheets>
  <definedNames>
    <definedName name="_xlnm._FilterDatabase" localSheetId="0" hidden="1">시트1!$A$9:$AA$10</definedName>
    <definedName name="_xlnm._FilterDatabase" localSheetId="2" hidden="1">'시트3 스티커 발행'!$A$2:$J$6</definedName>
    <definedName name="Excel_BuiltIn__FilterDatabase_1">'시트2 32품목 스티커'!$A$1:$X$2</definedName>
    <definedName name="Excel_BuiltIn_Print_Titles">시트1!#REF!</definedName>
    <definedName name="_xlnm.Print_Area" localSheetId="0">시트1!$A$1:$M$9</definedName>
    <definedName name="_xlnm.Print_Titles" localSheetId="0">시트1!$9:$9</definedName>
  </definedNames>
  <calcPr calcId="124519" fullCalcOnLoad="1" iterateCount="1"/>
</workbook>
</file>

<file path=xl/calcChain.xml><?xml version="1.0" encoding="utf-8"?>
<calcChain xmlns="http://schemas.openxmlformats.org/spreadsheetml/2006/main">
  <c r="H10" i="1"/>
  <c r="H2" i="2"/>
  <c r="D1" i="3"/>
  <c r="J1"/>
  <c r="B2"/>
  <c r="D2"/>
  <c r="H2"/>
  <c r="J2"/>
  <c r="B3"/>
  <c r="H3"/>
  <c r="B4"/>
  <c r="D4"/>
  <c r="H4"/>
  <c r="J4"/>
  <c r="B5"/>
  <c r="H5"/>
  <c r="B6"/>
  <c r="H6"/>
  <c r="D3"/>
  <c r="J3"/>
</calcChain>
</file>

<file path=xl/sharedStrings.xml><?xml version="1.0" encoding="utf-8"?>
<sst xmlns="http://schemas.openxmlformats.org/spreadsheetml/2006/main" count="117" uniqueCount="82">
  <si>
    <t xml:space="preserve">*포는 1포기준 /점안액30A은 1A /ml 통안약은 1통기준 등록 </t>
  </si>
  <si>
    <t>*점안액 % &amp; ml 확인철저히 할것</t>
  </si>
  <si>
    <t>하원제약 테라젠 이텍스는 출하건만 가능</t>
  </si>
  <si>
    <t>순번</t>
  </si>
  <si>
    <t>제품코드</t>
  </si>
  <si>
    <t>제 조 사</t>
  </si>
  <si>
    <t>발  주  처</t>
  </si>
  <si>
    <t>출 력 명</t>
  </si>
  <si>
    <t>규  격</t>
  </si>
  <si>
    <t>소분수량</t>
  </si>
  <si>
    <t>금액</t>
  </si>
  <si>
    <t>유효기간</t>
  </si>
  <si>
    <t>거래처코드</t>
  </si>
  <si>
    <t>약국명</t>
  </si>
  <si>
    <t>담당자</t>
  </si>
  <si>
    <t>작업일자</t>
  </si>
  <si>
    <t>기준단가</t>
  </si>
  <si>
    <t>거래처도매</t>
  </si>
  <si>
    <t>매출 단가</t>
  </si>
  <si>
    <t>보험코드</t>
  </si>
  <si>
    <t>제 품 명</t>
  </si>
  <si>
    <t>제품 구분</t>
  </si>
  <si>
    <t>단 위</t>
  </si>
  <si>
    <t>성분분류</t>
  </si>
  <si>
    <t>제형 구분</t>
  </si>
  <si>
    <t>제품 그룹</t>
  </si>
  <si>
    <t>성  분</t>
  </si>
  <si>
    <t>계산단위</t>
  </si>
  <si>
    <t>구보험코드</t>
  </si>
  <si>
    <t>보험(전문)</t>
  </si>
  <si>
    <t>내복제</t>
  </si>
  <si>
    <t>전문</t>
  </si>
  <si>
    <t>28</t>
  </si>
  <si>
    <t>30T</t>
  </si>
  <si>
    <t>30</t>
  </si>
  <si>
    <t>1 정</t>
  </si>
  <si>
    <t>혈압강하제</t>
  </si>
  <si>
    <t>정</t>
  </si>
  <si>
    <t>기타제약사</t>
  </si>
  <si>
    <t>불용재고의약품</t>
  </si>
  <si>
    <t>분류번호</t>
  </si>
  <si>
    <t>약 품 명</t>
  </si>
  <si>
    <t>단가</t>
  </si>
  <si>
    <t>제약회사</t>
  </si>
  <si>
    <t>반품금액</t>
  </si>
  <si>
    <t>거래처</t>
  </si>
  <si>
    <t>약 국 명</t>
  </si>
  <si>
    <t>전화번호</t>
  </si>
  <si>
    <t>반품수량</t>
  </si>
  <si>
    <t>대표약사</t>
  </si>
  <si>
    <t>유효기간등록</t>
    <phoneticPr fontId="4" type="noConversion"/>
  </si>
  <si>
    <t>11111</t>
    <phoneticPr fontId="4" type="noConversion"/>
  </si>
  <si>
    <t>제품명</t>
  </si>
  <si>
    <t>제품구분</t>
  </si>
  <si>
    <t>단위</t>
  </si>
  <si>
    <t>제형구분</t>
  </si>
  <si>
    <t>제품그룹</t>
  </si>
  <si>
    <t>성 분</t>
  </si>
  <si>
    <t>(유) 한풍제약</t>
  </si>
  <si>
    <t>51320</t>
  </si>
  <si>
    <t>암로다정</t>
  </si>
  <si>
    <t>658106350</t>
  </si>
  <si>
    <t>8806581063517</t>
  </si>
  <si>
    <t>(주)인천약품</t>
    <phoneticPr fontId="4" type="noConversion"/>
  </si>
  <si>
    <t>28T(PTP)</t>
  </si>
  <si>
    <t>amlodipine besylate (as amlodipine   5mg)</t>
  </si>
  <si>
    <t>자격요법제(비특이성면역원제제를 포함)</t>
  </si>
  <si>
    <t>기준가격×계산단위</t>
    <phoneticPr fontId="4" type="noConversion"/>
  </si>
  <si>
    <t>표준코드</t>
    <phoneticPr fontId="4" type="noConversion"/>
  </si>
  <si>
    <t xml:space="preserve">    신고계산단위</t>
    <phoneticPr fontId="4" type="noConversion"/>
  </si>
  <si>
    <t>(품절)한풍 암로다정/30T</t>
  </si>
  <si>
    <t>52308</t>
  </si>
  <si>
    <t>린버크서방정 15mg</t>
  </si>
  <si>
    <t>624900370</t>
  </si>
  <si>
    <t>$$애브 린버크서방정 15mg/28T</t>
  </si>
  <si>
    <t>upadacitinib hemihydrate (as upadacitinib   15mg)</t>
  </si>
  <si>
    <t>8806249003718</t>
  </si>
  <si>
    <t>비고</t>
    <phoneticPr fontId="4" type="noConversion"/>
  </si>
  <si>
    <t>글씨체 청색 글씨체 50% 적용</t>
    <phoneticPr fontId="4" type="noConversion"/>
  </si>
  <si>
    <t>(주)강선팜</t>
  </si>
  <si>
    <t>%%불용재고 품목 명세서  2026 06 월$$</t>
    <phoneticPr fontId="4" type="noConversion"/>
  </si>
  <si>
    <r>
      <t xml:space="preserve">파일에 포함된 제품만 가능하고 </t>
    </r>
    <r>
      <rPr>
        <sz val="9"/>
        <color indexed="12"/>
        <rFont val="돋움"/>
        <family val="3"/>
        <charset val="129"/>
      </rPr>
      <t>**유효기간 2020년부터 2026년 06월**</t>
    </r>
    <r>
      <rPr>
        <sz val="9"/>
        <color indexed="10"/>
        <rFont val="돋움"/>
        <family val="3"/>
        <charset val="129"/>
      </rPr>
      <t xml:space="preserve"> 이전제품만가능 /제품은 원제품 포장에 있는것 만 가능합니다.</t>
    </r>
    <phoneticPr fontId="4" type="noConversion"/>
  </si>
</sst>
</file>

<file path=xl/styles.xml><?xml version="1.0" encoding="utf-8"?>
<styleSheet xmlns="http://schemas.openxmlformats.org/spreadsheetml/2006/main">
  <numFmts count="3">
    <numFmt numFmtId="176" formatCode="_-* #,##0_-;\-* #,##0_-;_-* \-_-;_-@_-"/>
    <numFmt numFmtId="177" formatCode="yyyy&quot;. &quot;m&quot;. &quot;d\."/>
    <numFmt numFmtId="178" formatCode="_-* #,##0.00_-;\-* #,##0.00_-;_-* \-??_-;_-@_-"/>
  </numFmts>
  <fonts count="26">
    <font>
      <sz val="11"/>
      <name val="돋움"/>
      <family val="3"/>
      <charset val="129"/>
    </font>
    <font>
      <b/>
      <sz val="11"/>
      <name val="돋움"/>
      <family val="3"/>
      <charset val="129"/>
    </font>
    <font>
      <sz val="11"/>
      <color indexed="12"/>
      <name val="돋움"/>
      <family val="3"/>
      <charset val="129"/>
    </font>
    <font>
      <sz val="9"/>
      <name val="돋움"/>
      <family val="3"/>
      <charset val="129"/>
    </font>
    <font>
      <sz val="8"/>
      <name val="돋움"/>
      <family val="3"/>
      <charset val="129"/>
    </font>
    <font>
      <sz val="9"/>
      <color indexed="12"/>
      <name val="돋움"/>
      <family val="3"/>
      <charset val="129"/>
    </font>
    <font>
      <sz val="10"/>
      <name val="돋움"/>
      <family val="3"/>
      <charset val="129"/>
    </font>
    <font>
      <sz val="9"/>
      <color indexed="10"/>
      <name val="돋움"/>
      <family val="3"/>
      <charset val="129"/>
    </font>
    <font>
      <sz val="8"/>
      <color indexed="12"/>
      <name val="돋움"/>
      <family val="3"/>
      <charset val="129"/>
    </font>
    <font>
      <b/>
      <sz val="9"/>
      <name val="돋움"/>
      <family val="3"/>
      <charset val="129"/>
    </font>
    <font>
      <b/>
      <sz val="8"/>
      <name val="돋움"/>
      <family val="3"/>
      <charset val="129"/>
    </font>
    <font>
      <b/>
      <sz val="9"/>
      <color indexed="12"/>
      <name val="돋움"/>
      <family val="3"/>
      <charset val="129"/>
    </font>
    <font>
      <b/>
      <sz val="10"/>
      <color indexed="8"/>
      <name val="돋움"/>
      <family val="3"/>
      <charset val="129"/>
    </font>
    <font>
      <sz val="10"/>
      <color indexed="8"/>
      <name val="돋움"/>
      <family val="3"/>
      <charset val="129"/>
    </font>
    <font>
      <sz val="11"/>
      <name val="돋움"/>
      <family val="3"/>
      <charset val="129"/>
    </font>
    <font>
      <b/>
      <sz val="9"/>
      <color indexed="10"/>
      <name val="돋움"/>
      <family val="3"/>
      <charset val="129"/>
    </font>
    <font>
      <sz val="1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0"/>
      <color theme="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돋움"/>
      <family val="3"/>
      <charset val="129"/>
    </font>
    <font>
      <sz val="10"/>
      <color rgb="FF0070C0"/>
      <name val="돋움"/>
      <family val="3"/>
      <charset val="129"/>
    </font>
    <font>
      <b/>
      <sz val="16"/>
      <color theme="1"/>
      <name val="돋움"/>
      <family val="3"/>
      <charset val="129"/>
    </font>
    <font>
      <sz val="8"/>
      <color theme="1"/>
      <name val="돋움"/>
      <family val="3"/>
      <charset val="129"/>
    </font>
    <font>
      <b/>
      <sz val="10"/>
      <color rgb="FF0070C0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rgb="FF66FF33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rgb="FFFFFF00"/>
        <bgColor indexed="64"/>
      </patternFill>
    </fill>
    <fill>
      <patternFill patternType="solid">
        <fgColor rgb="FF66FF33"/>
        <bgColor indexed="49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49"/>
      </patternFill>
    </fill>
  </fills>
  <borders count="1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6">
    <xf numFmtId="0" fontId="0" fillId="0" borderId="0">
      <alignment vertical="center"/>
    </xf>
    <xf numFmtId="176" fontId="14" fillId="0" borderId="0" applyFill="0" applyBorder="0" applyProtection="0">
      <alignment vertical="center"/>
    </xf>
    <xf numFmtId="176" fontId="14" fillId="0" borderId="0" applyFill="0" applyBorder="0" applyProtection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4" fillId="0" borderId="0">
      <alignment vertical="center"/>
    </xf>
    <xf numFmtId="0" fontId="17" fillId="0" borderId="0">
      <alignment vertical="center"/>
    </xf>
    <xf numFmtId="0" fontId="14" fillId="0" borderId="0"/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4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</cellStyleXfs>
  <cellXfs count="142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76" fontId="0" fillId="0" borderId="0" xfId="1" applyFont="1" applyFill="1" applyBorder="1" applyAlignment="1" applyProtection="1">
      <alignment horizontal="right" vertical="center"/>
    </xf>
    <xf numFmtId="177" fontId="2" fillId="0" borderId="0" xfId="0" applyNumberFormat="1" applyFont="1" applyAlignment="1">
      <alignment vertical="center"/>
    </xf>
    <xf numFmtId="0" fontId="2" fillId="0" borderId="0" xfId="0" applyNumberFormat="1" applyFont="1" applyAlignment="1">
      <alignment horizontal="center" vertical="center"/>
    </xf>
    <xf numFmtId="177" fontId="0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shrinkToFit="1"/>
    </xf>
    <xf numFmtId="0" fontId="6" fillId="0" borderId="0" xfId="0" applyFont="1" applyAlignment="1">
      <alignment vertical="center" shrinkToFit="1"/>
    </xf>
    <xf numFmtId="0" fontId="4" fillId="0" borderId="0" xfId="0" applyFont="1" applyAlignment="1">
      <alignment vertical="center" shrinkToFit="1"/>
    </xf>
    <xf numFmtId="0" fontId="4" fillId="0" borderId="0" xfId="0" applyFont="1" applyAlignment="1">
      <alignment horizontal="center" vertical="center" shrinkToFit="1"/>
    </xf>
    <xf numFmtId="178" fontId="6" fillId="0" borderId="0" xfId="0" applyNumberFormat="1" applyFont="1" applyAlignment="1">
      <alignment horizontal="right" vertical="center" shrinkToFi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vertical="center" wrapText="1"/>
    </xf>
    <xf numFmtId="0" fontId="5" fillId="0" borderId="0" xfId="0" applyFont="1" applyBorder="1" applyAlignment="1">
      <alignment horizontal="center" vertical="center" wrapText="1"/>
    </xf>
    <xf numFmtId="176" fontId="5" fillId="0" borderId="0" xfId="1" applyFont="1" applyFill="1" applyBorder="1" applyAlignment="1" applyProtection="1">
      <alignment vertical="center" wrapText="1"/>
    </xf>
    <xf numFmtId="14" fontId="5" fillId="0" borderId="0" xfId="0" applyNumberFormat="1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shrinkToFit="1"/>
    </xf>
    <xf numFmtId="14" fontId="6" fillId="0" borderId="0" xfId="0" applyNumberFormat="1" applyFont="1" applyFill="1" applyBorder="1" applyAlignment="1">
      <alignment horizontal="center" vertical="center" shrinkToFit="1"/>
    </xf>
    <xf numFmtId="0" fontId="6" fillId="0" borderId="0" xfId="0" applyNumberFormat="1" applyFont="1" applyFill="1" applyBorder="1" applyAlignment="1">
      <alignment horizontal="center" vertical="center" shrinkToFit="1"/>
    </xf>
    <xf numFmtId="176" fontId="3" fillId="0" borderId="0" xfId="1" applyFont="1" applyFill="1" applyBorder="1" applyAlignment="1" applyProtection="1">
      <alignment horizontal="left" vertical="center" shrinkToFit="1"/>
    </xf>
    <xf numFmtId="0" fontId="3" fillId="0" borderId="0" xfId="0" applyNumberFormat="1" applyFont="1" applyFill="1" applyAlignment="1">
      <alignment horizontal="center" vertical="center" shrinkToFit="1"/>
    </xf>
    <xf numFmtId="0" fontId="4" fillId="0" borderId="0" xfId="0" applyNumberFormat="1" applyFont="1" applyAlignment="1">
      <alignment horizontal="center" vertical="center" shrinkToFit="1"/>
    </xf>
    <xf numFmtId="0" fontId="3" fillId="0" borderId="0" xfId="0" applyNumberFormat="1" applyFont="1" applyAlignment="1">
      <alignment horizontal="center" vertical="center" shrinkToFit="1"/>
    </xf>
    <xf numFmtId="49" fontId="11" fillId="2" borderId="1" xfId="0" applyNumberFormat="1" applyFont="1" applyFill="1" applyBorder="1" applyAlignment="1">
      <alignment horizontal="center" vertical="center"/>
    </xf>
    <xf numFmtId="176" fontId="11" fillId="2" borderId="1" xfId="1" applyFont="1" applyFill="1" applyBorder="1" applyAlignment="1" applyProtection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0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9" fillId="2" borderId="1" xfId="0" applyNumberFormat="1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9" fillId="0" borderId="1" xfId="0" applyFont="1" applyBorder="1">
      <alignment vertical="center"/>
    </xf>
    <xf numFmtId="49" fontId="9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left" vertical="center"/>
    </xf>
    <xf numFmtId="49" fontId="4" fillId="0" borderId="0" xfId="0" applyNumberFormat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12" fillId="0" borderId="2" xfId="0" applyFont="1" applyBorder="1" applyAlignment="1">
      <alignment vertical="center" shrinkToFit="1"/>
    </xf>
    <xf numFmtId="0" fontId="12" fillId="0" borderId="2" xfId="0" applyFont="1" applyBorder="1" applyAlignment="1">
      <alignment horizontal="center" vertical="center" shrinkToFit="1"/>
    </xf>
    <xf numFmtId="0" fontId="13" fillId="0" borderId="2" xfId="0" applyFont="1" applyBorder="1" applyAlignment="1">
      <alignment vertical="center" shrinkToFit="1"/>
    </xf>
    <xf numFmtId="0" fontId="13" fillId="0" borderId="2" xfId="0" applyFont="1" applyBorder="1" applyAlignment="1">
      <alignment horizontal="center" vertical="center" shrinkToFit="1"/>
    </xf>
    <xf numFmtId="3" fontId="6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176" fontId="6" fillId="0" borderId="2" xfId="0" applyNumberFormat="1" applyFont="1" applyBorder="1" applyAlignment="1">
      <alignment horizontal="center" vertical="center" shrinkToFit="1"/>
    </xf>
    <xf numFmtId="14" fontId="13" fillId="0" borderId="2" xfId="0" applyNumberFormat="1" applyFont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176" fontId="5" fillId="0" borderId="0" xfId="1" applyFont="1" applyFill="1" applyBorder="1" applyAlignment="1" applyProtection="1">
      <alignment vertical="center"/>
    </xf>
    <xf numFmtId="176" fontId="6" fillId="0" borderId="0" xfId="1" applyFont="1" applyFill="1" applyBorder="1" applyAlignment="1" applyProtection="1">
      <alignment vertical="center" shrinkToFit="1"/>
    </xf>
    <xf numFmtId="176" fontId="0" fillId="0" borderId="0" xfId="1" applyFont="1" applyFill="1" applyBorder="1" applyAlignment="1" applyProtection="1">
      <alignment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176" fontId="5" fillId="5" borderId="5" xfId="1" applyFont="1" applyFill="1" applyBorder="1" applyAlignment="1" applyProtection="1">
      <alignment vertical="center" wrapText="1"/>
    </xf>
    <xf numFmtId="14" fontId="5" fillId="5" borderId="5" xfId="0" applyNumberFormat="1" applyFont="1" applyFill="1" applyBorder="1" applyAlignment="1">
      <alignment horizontal="center" vertical="center" wrapText="1"/>
    </xf>
    <xf numFmtId="0" fontId="5" fillId="5" borderId="6" xfId="0" applyNumberFormat="1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left" vertical="center"/>
    </xf>
    <xf numFmtId="0" fontId="5" fillId="5" borderId="8" xfId="0" applyFont="1" applyFill="1" applyBorder="1" applyAlignment="1">
      <alignment horizontal="center" vertical="center" wrapText="1"/>
    </xf>
    <xf numFmtId="176" fontId="5" fillId="5" borderId="8" xfId="1" applyFont="1" applyFill="1" applyBorder="1" applyAlignment="1" applyProtection="1">
      <alignment vertical="center" wrapText="1"/>
    </xf>
    <xf numFmtId="14" fontId="5" fillId="5" borderId="8" xfId="0" applyNumberFormat="1" applyFont="1" applyFill="1" applyBorder="1" applyAlignment="1">
      <alignment horizontal="center" vertical="center" wrapText="1"/>
    </xf>
    <xf numFmtId="0" fontId="5" fillId="5" borderId="9" xfId="0" applyNumberFormat="1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15" fillId="6" borderId="10" xfId="0" applyFont="1" applyFill="1" applyBorder="1" applyAlignment="1">
      <alignment horizontal="center" vertical="center" wrapText="1"/>
    </xf>
    <xf numFmtId="14" fontId="11" fillId="6" borderId="1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9" fillId="0" borderId="1" xfId="0" applyFont="1" applyBorder="1" applyAlignment="1">
      <alignment horizontal="center" vertical="center"/>
    </xf>
    <xf numFmtId="0" fontId="19" fillId="0" borderId="3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49" fontId="9" fillId="2" borderId="1" xfId="0" applyNumberFormat="1" applyFont="1" applyFill="1" applyBorder="1" applyAlignment="1">
      <alignment vertical="center"/>
    </xf>
    <xf numFmtId="0" fontId="20" fillId="4" borderId="3" xfId="0" applyFont="1" applyFill="1" applyBorder="1" applyAlignment="1">
      <alignment horizontal="right" vertical="center"/>
    </xf>
    <xf numFmtId="0" fontId="20" fillId="4" borderId="3" xfId="0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center" vertical="center"/>
    </xf>
    <xf numFmtId="0" fontId="21" fillId="3" borderId="3" xfId="0" applyFont="1" applyFill="1" applyBorder="1">
      <alignment vertical="center"/>
    </xf>
    <xf numFmtId="49" fontId="21" fillId="2" borderId="3" xfId="0" applyNumberFormat="1" applyFont="1" applyFill="1" applyBorder="1" applyAlignment="1">
      <alignment horizontal="center" vertical="center"/>
    </xf>
    <xf numFmtId="176" fontId="21" fillId="2" borderId="3" xfId="1" applyFont="1" applyFill="1" applyBorder="1" applyAlignment="1" applyProtection="1">
      <alignment horizontal="center" vertical="center"/>
    </xf>
    <xf numFmtId="14" fontId="21" fillId="2" borderId="3" xfId="0" applyNumberFormat="1" applyFont="1" applyFill="1" applyBorder="1" applyAlignment="1">
      <alignment horizontal="center" vertical="center"/>
    </xf>
    <xf numFmtId="0" fontId="21" fillId="2" borderId="3" xfId="0" applyNumberFormat="1" applyFont="1" applyFill="1" applyBorder="1" applyAlignment="1">
      <alignment horizontal="center" vertical="center"/>
    </xf>
    <xf numFmtId="49" fontId="21" fillId="2" borderId="3" xfId="0" applyNumberFormat="1" applyFont="1" applyFill="1" applyBorder="1" applyAlignment="1">
      <alignment horizontal="left" vertical="center"/>
    </xf>
    <xf numFmtId="0" fontId="21" fillId="7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9" fillId="0" borderId="3" xfId="0" applyFont="1" applyFill="1" applyBorder="1" applyAlignment="1" applyProtection="1">
      <alignment horizontal="center" vertical="center"/>
      <protection locked="0"/>
    </xf>
    <xf numFmtId="0" fontId="19" fillId="0" borderId="3" xfId="0" applyFont="1" applyFill="1" applyBorder="1" applyAlignment="1" applyProtection="1">
      <alignment horizontal="left" vertical="center"/>
      <protection locked="0"/>
    </xf>
    <xf numFmtId="176" fontId="19" fillId="0" borderId="3" xfId="1" applyFont="1" applyFill="1" applyBorder="1" applyProtection="1">
      <alignment vertical="center"/>
      <protection locked="0"/>
    </xf>
    <xf numFmtId="37" fontId="19" fillId="0" borderId="3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 applyFill="1" applyAlignment="1" applyProtection="1">
      <alignment horizontal="left" vertical="center"/>
      <protection locked="0"/>
    </xf>
    <xf numFmtId="49" fontId="19" fillId="0" borderId="0" xfId="0" applyNumberFormat="1" applyFont="1" applyAlignment="1">
      <alignment horizontal="center" vertical="center"/>
    </xf>
    <xf numFmtId="0" fontId="6" fillId="0" borderId="3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vertical="center"/>
    </xf>
    <xf numFmtId="0" fontId="7" fillId="0" borderId="0" xfId="0" applyFont="1" applyBorder="1" applyAlignment="1">
      <alignment vertical="center" wrapText="1"/>
    </xf>
    <xf numFmtId="0" fontId="3" fillId="0" borderId="0" xfId="0" applyNumberFormat="1" applyFont="1" applyAlignment="1">
      <alignment vertical="center" shrinkToFit="1"/>
    </xf>
    <xf numFmtId="0" fontId="21" fillId="7" borderId="3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6" fillId="0" borderId="3" xfId="0" applyFont="1" applyBorder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shrinkToFit="1"/>
    </xf>
    <xf numFmtId="49" fontId="11" fillId="6" borderId="10" xfId="0" applyNumberFormat="1" applyFont="1" applyFill="1" applyBorder="1" applyAlignment="1">
      <alignment horizontal="right" vertical="center" wrapText="1"/>
    </xf>
    <xf numFmtId="0" fontId="5" fillId="0" borderId="0" xfId="0" applyFont="1" applyBorder="1" applyAlignment="1">
      <alignment horizontal="right" vertical="center" wrapText="1"/>
    </xf>
    <xf numFmtId="0" fontId="0" fillId="0" borderId="0" xfId="0" applyFont="1" applyAlignment="1">
      <alignment horizontal="right" vertical="center"/>
    </xf>
    <xf numFmtId="0" fontId="22" fillId="0" borderId="3" xfId="0" applyFont="1" applyFill="1" applyBorder="1" applyAlignment="1" applyProtection="1">
      <alignment horizontal="center" vertical="center"/>
      <protection locked="0"/>
    </xf>
    <xf numFmtId="0" fontId="6" fillId="8" borderId="3" xfId="0" applyFont="1" applyFill="1" applyBorder="1" applyAlignment="1">
      <alignment horizontal="center" vertical="center" shrinkToFit="1"/>
    </xf>
    <xf numFmtId="0" fontId="6" fillId="9" borderId="0" xfId="0" applyFont="1" applyFill="1" applyAlignment="1">
      <alignment horizontal="center" vertical="center" shrinkToFit="1"/>
    </xf>
    <xf numFmtId="0" fontId="4" fillId="9" borderId="0" xfId="0" applyFont="1" applyFill="1" applyAlignment="1">
      <alignment vertical="center" shrinkToFit="1"/>
    </xf>
    <xf numFmtId="0" fontId="4" fillId="9" borderId="0" xfId="0" applyFont="1" applyFill="1" applyAlignment="1">
      <alignment horizontal="center" vertical="center" shrinkToFit="1"/>
    </xf>
    <xf numFmtId="0" fontId="16" fillId="0" borderId="3" xfId="19" applyFont="1" applyFill="1" applyBorder="1" applyAlignment="1" applyProtection="1">
      <alignment horizontal="center" vertical="center"/>
      <protection locked="0"/>
    </xf>
    <xf numFmtId="0" fontId="6" fillId="0" borderId="3" xfId="19" applyFont="1" applyFill="1" applyBorder="1" applyAlignment="1">
      <alignment horizontal="left" vertical="center"/>
    </xf>
    <xf numFmtId="0" fontId="6" fillId="0" borderId="3" xfId="19" applyFont="1" applyFill="1" applyBorder="1" applyAlignment="1">
      <alignment horizontal="center" vertical="center"/>
    </xf>
    <xf numFmtId="176" fontId="6" fillId="0" borderId="3" xfId="1" applyFont="1" applyFill="1" applyBorder="1" applyProtection="1">
      <alignment vertical="center"/>
      <protection locked="0"/>
    </xf>
    <xf numFmtId="0" fontId="6" fillId="0" borderId="3" xfId="0" applyFont="1" applyFill="1" applyBorder="1" applyAlignment="1" applyProtection="1">
      <alignment horizontal="left" vertical="center"/>
      <protection locked="0"/>
    </xf>
    <xf numFmtId="0" fontId="6" fillId="0" borderId="3" xfId="19" applyFont="1" applyFill="1" applyBorder="1" applyAlignment="1">
      <alignment horizontal="right" vertical="center"/>
    </xf>
    <xf numFmtId="37" fontId="6" fillId="0" borderId="3" xfId="0" applyNumberFormat="1" applyFont="1" applyFill="1" applyBorder="1" applyAlignment="1" applyProtection="1">
      <alignment horizontal="center" vertical="center"/>
      <protection locked="0"/>
    </xf>
    <xf numFmtId="0" fontId="6" fillId="0" borderId="3" xfId="19" applyFont="1" applyFill="1" applyBorder="1" applyAlignment="1">
      <alignment vertical="center"/>
    </xf>
    <xf numFmtId="0" fontId="6" fillId="0" borderId="0" xfId="0" applyFont="1" applyFill="1" applyAlignment="1" applyProtection="1">
      <alignment horizontal="left" vertical="center"/>
      <protection locked="0"/>
    </xf>
    <xf numFmtId="0" fontId="23" fillId="10" borderId="0" xfId="0" applyFont="1" applyFill="1" applyAlignment="1">
      <alignment horizontal="left" vertical="center"/>
    </xf>
    <xf numFmtId="0" fontId="24" fillId="10" borderId="0" xfId="0" applyFont="1" applyFill="1" applyAlignment="1">
      <alignment vertical="center" shrinkToFit="1"/>
    </xf>
    <xf numFmtId="0" fontId="24" fillId="10" borderId="0" xfId="0" applyFont="1" applyFill="1" applyAlignment="1">
      <alignment horizontal="center" vertical="center" shrinkToFit="1"/>
    </xf>
    <xf numFmtId="178" fontId="19" fillId="10" borderId="0" xfId="0" applyNumberFormat="1" applyFont="1" applyFill="1" applyAlignment="1">
      <alignment horizontal="right" vertical="center" shrinkToFit="1"/>
    </xf>
    <xf numFmtId="0" fontId="7" fillId="11" borderId="2" xfId="0" applyFont="1" applyFill="1" applyBorder="1" applyAlignment="1">
      <alignment horizontal="left" vertical="center" wrapText="1"/>
    </xf>
    <xf numFmtId="0" fontId="25" fillId="0" borderId="0" xfId="0" applyFont="1" applyAlignment="1">
      <alignment horizontal="center" vertical="center" shrinkToFit="1"/>
    </xf>
    <xf numFmtId="0" fontId="12" fillId="0" borderId="2" xfId="0" applyFont="1" applyBorder="1" applyAlignment="1">
      <alignment vertical="center" shrinkToFit="1"/>
    </xf>
  </cellXfs>
  <cellStyles count="76">
    <cellStyle name="쉼표 [0]" xfId="1" builtinId="6"/>
    <cellStyle name="쉼표 [0] 2" xfId="2"/>
    <cellStyle name="표준" xfId="0" builtinId="0"/>
    <cellStyle name="표준 10" xfId="3"/>
    <cellStyle name="표준 10 2" xfId="4"/>
    <cellStyle name="표준 10 3" xfId="5"/>
    <cellStyle name="표준 10 4" xfId="6"/>
    <cellStyle name="표준 11" xfId="7"/>
    <cellStyle name="표준 11 2" xfId="8"/>
    <cellStyle name="표준 11 3" xfId="9"/>
    <cellStyle name="표준 12" xfId="10"/>
    <cellStyle name="표준 12 2" xfId="11"/>
    <cellStyle name="표준 12 3" xfId="12"/>
    <cellStyle name="표준 13" xfId="13"/>
    <cellStyle name="표준 13 2" xfId="14"/>
    <cellStyle name="표준 14" xfId="15"/>
    <cellStyle name="표준 15" xfId="16"/>
    <cellStyle name="표준 2" xfId="17"/>
    <cellStyle name="표준 2 2" xfId="18"/>
    <cellStyle name="표준 3" xfId="19"/>
    <cellStyle name="표준 4" xfId="20"/>
    <cellStyle name="표준 5" xfId="21"/>
    <cellStyle name="표준 5 2" xfId="22"/>
    <cellStyle name="표준 5 3" xfId="23"/>
    <cellStyle name="표준 6" xfId="24"/>
    <cellStyle name="표준 6 2" xfId="25"/>
    <cellStyle name="표준 6 2 2" xfId="26"/>
    <cellStyle name="표준 6 2 2 2" xfId="27"/>
    <cellStyle name="표준 6 2 2 3" xfId="28"/>
    <cellStyle name="표준 6 2 2 4" xfId="29"/>
    <cellStyle name="표준 6 2 3" xfId="30"/>
    <cellStyle name="표준 6 2 3 2" xfId="31"/>
    <cellStyle name="표준 6 2 4" xfId="32"/>
    <cellStyle name="표준 6 2 5" xfId="33"/>
    <cellStyle name="표준 6 3" xfId="34"/>
    <cellStyle name="표준 6 3 2" xfId="35"/>
    <cellStyle name="표준 6 3 3" xfId="36"/>
    <cellStyle name="표준 6 3 4" xfId="37"/>
    <cellStyle name="표준 6 4" xfId="38"/>
    <cellStyle name="표준 6 4 2" xfId="39"/>
    <cellStyle name="표준 6 5" xfId="40"/>
    <cellStyle name="표준 6 6" xfId="41"/>
    <cellStyle name="표준 6 7" xfId="42"/>
    <cellStyle name="표준 7" xfId="43"/>
    <cellStyle name="표준 7 2" xfId="44"/>
    <cellStyle name="표준 7 2 2" xfId="45"/>
    <cellStyle name="표준 7 2 2 2" xfId="46"/>
    <cellStyle name="표준 7 2 2 3" xfId="47"/>
    <cellStyle name="표준 7 2 2 4" xfId="48"/>
    <cellStyle name="표준 7 2 3" xfId="49"/>
    <cellStyle name="표준 7 2 3 2" xfId="50"/>
    <cellStyle name="표준 7 2 4" xfId="51"/>
    <cellStyle name="표준 7 2 5" xfId="52"/>
    <cellStyle name="표준 7 3" xfId="53"/>
    <cellStyle name="표준 7 3 2" xfId="54"/>
    <cellStyle name="표준 7 3 3" xfId="55"/>
    <cellStyle name="표준 7 3 4" xfId="56"/>
    <cellStyle name="표준 7 4" xfId="57"/>
    <cellStyle name="표준 7 4 2" xfId="58"/>
    <cellStyle name="표준 7 5" xfId="59"/>
    <cellStyle name="표준 7 6" xfId="60"/>
    <cellStyle name="표준 8" xfId="61"/>
    <cellStyle name="표준 8 2" xfId="62"/>
    <cellStyle name="표준 8 2 2" xfId="63"/>
    <cellStyle name="표준 8 2 3" xfId="64"/>
    <cellStyle name="표준 8 2 4" xfId="65"/>
    <cellStyle name="표준 8 3" xfId="66"/>
    <cellStyle name="표준 8 3 2" xfId="67"/>
    <cellStyle name="표준 8 4" xfId="68"/>
    <cellStyle name="표준 8 5" xfId="69"/>
    <cellStyle name="표준 9" xfId="70"/>
    <cellStyle name="표준 9 2" xfId="71"/>
    <cellStyle name="표준 9 2 2" xfId="72"/>
    <cellStyle name="표준 9 3" xfId="73"/>
    <cellStyle name="표준 9 4" xfId="74"/>
    <cellStyle name="표준 9 5" xfId="7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3</xdr:row>
      <xdr:rowOff>66675</xdr:rowOff>
    </xdr:from>
    <xdr:to>
      <xdr:col>12</xdr:col>
      <xdr:colOff>800100</xdr:colOff>
      <xdr:row>7</xdr:row>
      <xdr:rowOff>85725</xdr:rowOff>
    </xdr:to>
    <xdr:pic>
      <xdr:nvPicPr>
        <xdr:cNvPr id="1637" name="Picture 27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505825" y="571500"/>
          <a:ext cx="2219325" cy="742950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  <xdr:twoCellAnchor>
    <xdr:from>
      <xdr:col>10</xdr:col>
      <xdr:colOff>114300</xdr:colOff>
      <xdr:row>3</xdr:row>
      <xdr:rowOff>66675</xdr:rowOff>
    </xdr:from>
    <xdr:to>
      <xdr:col>12</xdr:col>
      <xdr:colOff>800100</xdr:colOff>
      <xdr:row>7</xdr:row>
      <xdr:rowOff>85725</xdr:rowOff>
    </xdr:to>
    <xdr:pic>
      <xdr:nvPicPr>
        <xdr:cNvPr id="1638" name="Picture 32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505825" y="571500"/>
          <a:ext cx="2219325" cy="742950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  <xdr:twoCellAnchor>
    <xdr:from>
      <xdr:col>10</xdr:col>
      <xdr:colOff>114300</xdr:colOff>
      <xdr:row>3</xdr:row>
      <xdr:rowOff>66675</xdr:rowOff>
    </xdr:from>
    <xdr:to>
      <xdr:col>12</xdr:col>
      <xdr:colOff>800100</xdr:colOff>
      <xdr:row>7</xdr:row>
      <xdr:rowOff>85725</xdr:rowOff>
    </xdr:to>
    <xdr:pic>
      <xdr:nvPicPr>
        <xdr:cNvPr id="1639" name="Picture 27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505825" y="571500"/>
          <a:ext cx="2219325" cy="742950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enableFormatConditionsCalculation="0">
    <tabColor indexed="11"/>
  </sheetPr>
  <dimension ref="A1:AA10"/>
  <sheetViews>
    <sheetView tabSelected="1" workbookViewId="0">
      <pane ySplit="9" topLeftCell="A10" activePane="bottomLeft" state="frozen"/>
      <selection pane="bottomLeft" activeCell="A2" sqref="A2"/>
    </sheetView>
  </sheetViews>
  <sheetFormatPr defaultRowHeight="13.5"/>
  <cols>
    <col min="1" max="1" width="5.88671875" style="64" customWidth="1"/>
    <col min="2" max="2" width="6.88671875" style="65" customWidth="1"/>
    <col min="3" max="3" width="8.77734375" style="2" customWidth="1"/>
    <col min="4" max="4" width="9.21875" style="2" customWidth="1"/>
    <col min="5" max="5" width="22.5546875" style="3" customWidth="1"/>
    <col min="6" max="6" width="5.77734375" style="1" customWidth="1"/>
    <col min="7" max="7" width="8.21875" style="4" customWidth="1"/>
    <col min="8" max="8" width="9.88671875" style="72" customWidth="1"/>
    <col min="9" max="9" width="11.44140625" style="6" customWidth="1"/>
    <col min="10" max="10" width="9.21875" style="7" customWidth="1"/>
    <col min="11" max="11" width="11" style="114" customWidth="1"/>
    <col min="12" max="12" width="7.21875" style="4" customWidth="1"/>
    <col min="13" max="13" width="9" style="8" customWidth="1"/>
    <col min="14" max="14" width="7.77734375" style="3" customWidth="1"/>
    <col min="15" max="15" width="9.5546875" style="64" customWidth="1"/>
    <col min="16" max="16" width="8.33203125" style="120" customWidth="1"/>
    <col min="17" max="17" width="9.21875" style="64" customWidth="1"/>
    <col min="18" max="18" width="26.21875" style="2" customWidth="1"/>
    <col min="19" max="19" width="8.33203125" style="1" customWidth="1"/>
    <col min="20" max="20" width="5.44140625" style="1" customWidth="1"/>
    <col min="21" max="21" width="8.77734375" style="1" customWidth="1"/>
    <col min="22" max="23" width="8.33203125" style="1" customWidth="1"/>
    <col min="24" max="24" width="8.88671875" style="1"/>
    <col min="25" max="25" width="14" style="64" customWidth="1"/>
    <col min="26" max="26" width="6.77734375" style="1" customWidth="1"/>
    <col min="27" max="27" width="7" style="1" customWidth="1"/>
    <col min="28" max="16384" width="8.88671875" style="1"/>
  </cols>
  <sheetData>
    <row r="1" spans="1:27" s="11" customFormat="1" ht="7.5" customHeight="1">
      <c r="A1" s="9"/>
      <c r="B1" s="9"/>
      <c r="C1" s="10"/>
      <c r="D1" s="10"/>
      <c r="G1" s="12"/>
      <c r="H1" s="70"/>
      <c r="I1" s="13"/>
      <c r="J1" s="14"/>
      <c r="K1" s="15"/>
      <c r="L1" s="12"/>
      <c r="M1" s="16"/>
      <c r="N1" s="110"/>
      <c r="O1" s="12"/>
      <c r="P1" s="116"/>
      <c r="Q1" s="9"/>
      <c r="R1" s="17"/>
      <c r="S1" s="17"/>
      <c r="T1" s="17"/>
      <c r="U1" s="17"/>
      <c r="V1" s="17"/>
      <c r="W1" s="17"/>
      <c r="X1" s="17"/>
      <c r="Y1" s="9"/>
      <c r="Z1" s="17"/>
    </row>
    <row r="2" spans="1:27" ht="13.5" customHeight="1" thickBot="1">
      <c r="A2" s="122"/>
      <c r="B2" s="18"/>
      <c r="C2" s="20"/>
      <c r="D2" s="21"/>
      <c r="E2" s="22"/>
      <c r="F2" s="139" t="s">
        <v>81</v>
      </c>
      <c r="G2" s="139"/>
      <c r="H2" s="139"/>
      <c r="I2" s="139"/>
      <c r="J2" s="139"/>
      <c r="K2" s="139"/>
      <c r="L2" s="139"/>
      <c r="M2" s="139"/>
      <c r="N2" s="111"/>
      <c r="O2" s="23"/>
      <c r="P2" s="117"/>
      <c r="Q2" s="102"/>
      <c r="R2" s="24"/>
      <c r="S2" s="24"/>
      <c r="T2" s="24"/>
      <c r="U2" s="25"/>
      <c r="V2" s="25"/>
      <c r="W2" s="25"/>
      <c r="X2" s="25"/>
      <c r="Y2" s="67"/>
      <c r="Z2" s="25"/>
    </row>
    <row r="3" spans="1:27" ht="18.75" customHeight="1" thickBot="1">
      <c r="A3" s="18"/>
      <c r="B3" s="135" t="s">
        <v>80</v>
      </c>
      <c r="C3" s="136"/>
      <c r="D3" s="137"/>
      <c r="E3" s="138"/>
      <c r="F3" s="139"/>
      <c r="G3" s="139"/>
      <c r="H3" s="139"/>
      <c r="I3" s="139"/>
      <c r="J3" s="139"/>
      <c r="K3" s="139"/>
      <c r="L3" s="139"/>
      <c r="M3" s="139"/>
      <c r="N3" s="111"/>
      <c r="O3" s="84" t="s">
        <v>50</v>
      </c>
      <c r="P3" s="118" t="s">
        <v>51</v>
      </c>
      <c r="Q3" s="85">
        <v>44166</v>
      </c>
      <c r="R3" s="66"/>
      <c r="S3" s="24"/>
      <c r="T3" s="24"/>
      <c r="U3" s="25"/>
      <c r="V3" s="25"/>
      <c r="W3" s="25"/>
      <c r="X3" s="25"/>
      <c r="Y3" s="67"/>
      <c r="Z3" s="25"/>
    </row>
    <row r="4" spans="1:27">
      <c r="A4" s="18"/>
      <c r="B4" s="18"/>
      <c r="C4" s="20"/>
      <c r="D4" s="21"/>
      <c r="E4" s="22"/>
      <c r="F4" s="27"/>
      <c r="G4" s="28"/>
      <c r="H4" s="29"/>
      <c r="I4" s="30"/>
      <c r="J4" s="31"/>
      <c r="K4" s="26"/>
      <c r="L4" s="28"/>
      <c r="M4" s="32"/>
      <c r="N4" s="27"/>
      <c r="O4" s="28"/>
      <c r="P4" s="119"/>
      <c r="Q4" s="28"/>
      <c r="R4" s="24"/>
      <c r="S4" s="24"/>
      <c r="T4" s="24"/>
      <c r="U4" s="25"/>
      <c r="V4" s="25"/>
      <c r="W4" s="25"/>
      <c r="X4" s="25"/>
      <c r="Y4" s="67"/>
      <c r="Z4" s="25"/>
    </row>
    <row r="5" spans="1:27" ht="15" customHeight="1">
      <c r="A5" s="18"/>
      <c r="B5" s="18"/>
      <c r="C5" s="20"/>
      <c r="D5" s="21"/>
      <c r="E5" s="22"/>
      <c r="F5" s="73" t="s">
        <v>0</v>
      </c>
      <c r="G5" s="74"/>
      <c r="H5" s="75"/>
      <c r="I5" s="76"/>
      <c r="J5" s="77"/>
      <c r="K5" s="26"/>
      <c r="L5" s="28"/>
      <c r="M5" s="32"/>
      <c r="N5" s="27"/>
      <c r="O5" s="28"/>
      <c r="P5" s="119"/>
      <c r="Q5" s="28"/>
      <c r="R5" s="24"/>
      <c r="S5" s="24"/>
      <c r="T5" s="24"/>
      <c r="U5" s="25"/>
      <c r="V5" s="25"/>
      <c r="W5" s="25"/>
      <c r="X5" s="25"/>
      <c r="Y5" s="67"/>
      <c r="Z5" s="25"/>
    </row>
    <row r="6" spans="1:27" ht="15" customHeight="1">
      <c r="A6" s="18"/>
      <c r="B6" s="140" t="s">
        <v>78</v>
      </c>
      <c r="C6" s="140"/>
      <c r="D6" s="140"/>
      <c r="E6" s="22"/>
      <c r="F6" s="78" t="s">
        <v>1</v>
      </c>
      <c r="G6" s="79"/>
      <c r="H6" s="80"/>
      <c r="I6" s="81"/>
      <c r="J6" s="82"/>
      <c r="K6" s="26"/>
      <c r="L6" s="28"/>
      <c r="M6" s="32"/>
      <c r="N6" s="27"/>
      <c r="O6" s="28"/>
      <c r="P6" s="119"/>
      <c r="Q6" s="28"/>
      <c r="R6" s="24"/>
      <c r="S6" s="24"/>
      <c r="T6" s="24"/>
      <c r="U6" s="25"/>
      <c r="V6" s="25"/>
      <c r="W6" s="25"/>
      <c r="X6" s="25"/>
      <c r="Y6" s="67"/>
      <c r="Z6" s="25"/>
    </row>
    <row r="7" spans="1:27">
      <c r="A7" s="18"/>
      <c r="B7" s="123"/>
      <c r="C7" s="124"/>
      <c r="D7" s="125"/>
      <c r="E7" s="22"/>
      <c r="F7" s="83" t="s">
        <v>2</v>
      </c>
      <c r="G7" s="79"/>
      <c r="H7" s="80"/>
      <c r="I7" s="81"/>
      <c r="J7" s="82"/>
      <c r="K7" s="26"/>
      <c r="L7" s="28"/>
      <c r="M7" s="32"/>
      <c r="N7" s="27"/>
      <c r="O7" s="28"/>
      <c r="P7" s="119"/>
      <c r="Q7" s="28"/>
      <c r="R7" s="24"/>
      <c r="S7" s="24"/>
      <c r="T7" s="24"/>
      <c r="U7" s="25"/>
      <c r="V7" s="25"/>
      <c r="W7" s="25"/>
      <c r="X7" s="25"/>
      <c r="Y7" s="67"/>
      <c r="Z7" s="25"/>
    </row>
    <row r="8" spans="1:27">
      <c r="A8" s="18"/>
      <c r="B8" s="18"/>
      <c r="C8" s="20"/>
      <c r="D8" s="21"/>
      <c r="E8" s="22"/>
      <c r="F8" s="33"/>
      <c r="G8" s="18"/>
      <c r="H8" s="71"/>
      <c r="I8" s="34"/>
      <c r="J8" s="35"/>
      <c r="K8" s="36"/>
      <c r="L8" s="37"/>
      <c r="M8" s="38"/>
      <c r="N8" s="112"/>
      <c r="O8" s="39"/>
      <c r="P8" s="117"/>
      <c r="Q8" s="102"/>
      <c r="R8" s="24"/>
      <c r="S8" s="24"/>
      <c r="T8" s="24"/>
      <c r="U8" s="25"/>
      <c r="V8" s="25"/>
      <c r="W8" s="25"/>
      <c r="X8" s="25"/>
      <c r="Y8" s="67"/>
      <c r="Z8" s="25"/>
    </row>
    <row r="9" spans="1:27" s="108" customFormat="1" ht="15" customHeight="1">
      <c r="A9" s="94" t="s">
        <v>3</v>
      </c>
      <c r="B9" s="94" t="s">
        <v>4</v>
      </c>
      <c r="C9" s="94" t="s">
        <v>5</v>
      </c>
      <c r="D9" s="95" t="s">
        <v>6</v>
      </c>
      <c r="E9" s="95" t="s">
        <v>7</v>
      </c>
      <c r="F9" s="94" t="s">
        <v>8</v>
      </c>
      <c r="G9" s="96" t="s">
        <v>9</v>
      </c>
      <c r="H9" s="97" t="s">
        <v>10</v>
      </c>
      <c r="I9" s="98" t="s">
        <v>11</v>
      </c>
      <c r="J9" s="99" t="s">
        <v>12</v>
      </c>
      <c r="K9" s="100" t="s">
        <v>13</v>
      </c>
      <c r="L9" s="96" t="s">
        <v>14</v>
      </c>
      <c r="M9" s="98" t="s">
        <v>15</v>
      </c>
      <c r="N9" s="113" t="s">
        <v>16</v>
      </c>
      <c r="O9" s="101" t="s">
        <v>17</v>
      </c>
      <c r="P9" s="92" t="s">
        <v>67</v>
      </c>
      <c r="Q9" s="69" t="s">
        <v>19</v>
      </c>
      <c r="R9" s="93" t="s">
        <v>52</v>
      </c>
      <c r="S9" s="69" t="s">
        <v>53</v>
      </c>
      <c r="T9" s="69" t="s">
        <v>54</v>
      </c>
      <c r="U9" s="69" t="s">
        <v>23</v>
      </c>
      <c r="V9" s="69" t="s">
        <v>55</v>
      </c>
      <c r="W9" s="69" t="s">
        <v>56</v>
      </c>
      <c r="X9" s="69" t="s">
        <v>57</v>
      </c>
      <c r="Y9" s="69" t="s">
        <v>68</v>
      </c>
      <c r="Z9" s="69" t="s">
        <v>69</v>
      </c>
      <c r="AA9" s="69" t="s">
        <v>77</v>
      </c>
    </row>
    <row r="10" spans="1:27" s="134" customFormat="1" ht="14.25" customHeight="1">
      <c r="A10" s="109">
        <v>1</v>
      </c>
      <c r="B10" s="126" t="s">
        <v>71</v>
      </c>
      <c r="C10" s="127" t="s">
        <v>38</v>
      </c>
      <c r="D10" s="127" t="s">
        <v>79</v>
      </c>
      <c r="E10" s="127" t="s">
        <v>72</v>
      </c>
      <c r="F10" s="128" t="s">
        <v>64</v>
      </c>
      <c r="G10" s="109"/>
      <c r="H10" s="129">
        <f t="shared" ref="H10" si="0">G10*N10</f>
        <v>0</v>
      </c>
      <c r="I10" s="130"/>
      <c r="J10" s="130"/>
      <c r="K10" s="130"/>
      <c r="L10" s="109"/>
      <c r="M10" s="109"/>
      <c r="N10" s="131">
        <v>18328</v>
      </c>
      <c r="O10" s="132" t="s">
        <v>63</v>
      </c>
      <c r="P10" s="131">
        <v>513184</v>
      </c>
      <c r="Q10" s="128" t="s">
        <v>73</v>
      </c>
      <c r="R10" s="133" t="s">
        <v>74</v>
      </c>
      <c r="S10" s="133" t="s">
        <v>29</v>
      </c>
      <c r="T10" s="128" t="s">
        <v>37</v>
      </c>
      <c r="U10" s="133" t="s">
        <v>66</v>
      </c>
      <c r="V10" s="133" t="s">
        <v>30</v>
      </c>
      <c r="W10" s="133" t="s">
        <v>31</v>
      </c>
      <c r="X10" s="133" t="s">
        <v>75</v>
      </c>
      <c r="Y10" s="128" t="s">
        <v>76</v>
      </c>
      <c r="Z10" s="133" t="s">
        <v>32</v>
      </c>
      <c r="AA10" s="133">
        <v>18328</v>
      </c>
    </row>
  </sheetData>
  <sheetProtection selectLockedCells="1" selectUnlockedCells="1"/>
  <autoFilter ref="A9:AA10"/>
  <mergeCells count="2">
    <mergeCell ref="F2:M3"/>
    <mergeCell ref="B6:D6"/>
  </mergeCells>
  <phoneticPr fontId="4" type="noConversion"/>
  <pageMargins left="0.23622047244094491" right="0.15748031496062992" top="0.55118110236220474" bottom="0.43307086614173229" header="0.51181102362204722" footer="0.23622047244094491"/>
  <pageSetup paperSize="9" firstPageNumber="0" orientation="landscape" horizontalDpi="300" verticalDpi="300" r:id="rId1"/>
  <headerFooter alignWithMargins="0">
    <oddFooter>&amp;C&amp;N페이지 중 &amp;P페이지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enableFormatConditionsCalculation="0">
    <tabColor indexed="11"/>
  </sheetPr>
  <dimension ref="A1:Z2"/>
  <sheetViews>
    <sheetView workbookViewId="0">
      <selection activeCell="B45" sqref="B45"/>
    </sheetView>
  </sheetViews>
  <sheetFormatPr defaultRowHeight="13.5"/>
  <cols>
    <col min="1" max="1" width="4.109375" customWidth="1"/>
    <col min="2" max="2" width="5.33203125" customWidth="1"/>
    <col min="3" max="3" width="9.77734375" style="25" customWidth="1"/>
    <col min="4" max="4" width="17.21875" style="25" customWidth="1"/>
    <col min="5" max="5" width="25.6640625" style="44" customWidth="1"/>
    <col min="6" max="6" width="6.33203125" style="44" customWidth="1"/>
    <col min="7" max="7" width="6.21875" style="1" customWidth="1"/>
    <col min="8" max="8" width="8.109375" style="5" customWidth="1"/>
    <col min="9" max="9" width="11.44140625" style="44" customWidth="1"/>
    <col min="10" max="10" width="9.33203125" style="44" customWidth="1"/>
    <col min="11" max="11" width="10.109375" style="44" customWidth="1"/>
    <col min="12" max="13" width="0" style="44" hidden="1" customWidth="1"/>
    <col min="15" max="15" width="16.33203125" style="64" customWidth="1"/>
    <col min="16" max="16" width="10.21875" style="87" customWidth="1"/>
    <col min="17" max="17" width="8.88671875" style="67"/>
    <col min="22" max="22" width="4.77734375" customWidth="1"/>
    <col min="23" max="23" width="4.33203125" customWidth="1"/>
  </cols>
  <sheetData>
    <row r="1" spans="1:26" s="53" customFormat="1" ht="11.25">
      <c r="A1" s="45" t="s">
        <v>3</v>
      </c>
      <c r="B1" s="45" t="s">
        <v>4</v>
      </c>
      <c r="C1" s="46" t="s">
        <v>5</v>
      </c>
      <c r="D1" s="47" t="s">
        <v>6</v>
      </c>
      <c r="E1" s="48" t="s">
        <v>7</v>
      </c>
      <c r="F1" s="91" t="s">
        <v>8</v>
      </c>
      <c r="G1" s="40" t="s">
        <v>9</v>
      </c>
      <c r="H1" s="41" t="s">
        <v>10</v>
      </c>
      <c r="I1" s="42" t="s">
        <v>11</v>
      </c>
      <c r="J1" s="40" t="s">
        <v>12</v>
      </c>
      <c r="K1" s="40" t="s">
        <v>13</v>
      </c>
      <c r="L1" s="40" t="s">
        <v>14</v>
      </c>
      <c r="M1" s="43" t="s">
        <v>15</v>
      </c>
      <c r="N1" s="49" t="s">
        <v>16</v>
      </c>
      <c r="O1" s="90" t="s">
        <v>17</v>
      </c>
      <c r="P1" s="86" t="s">
        <v>18</v>
      </c>
      <c r="Q1" s="88" t="s">
        <v>19</v>
      </c>
      <c r="R1" s="51" t="s">
        <v>20</v>
      </c>
      <c r="S1" s="51" t="s">
        <v>21</v>
      </c>
      <c r="T1" s="52" t="s">
        <v>22</v>
      </c>
      <c r="U1" s="51" t="s">
        <v>23</v>
      </c>
      <c r="V1" s="50" t="s">
        <v>24</v>
      </c>
      <c r="W1" s="50" t="s">
        <v>25</v>
      </c>
      <c r="X1" s="50" t="s">
        <v>26</v>
      </c>
      <c r="Y1" s="50" t="s">
        <v>27</v>
      </c>
      <c r="Z1" s="50" t="s">
        <v>28</v>
      </c>
    </row>
    <row r="2" spans="1:26" s="107" customFormat="1" ht="14.25" customHeight="1">
      <c r="A2" s="109">
        <v>1</v>
      </c>
      <c r="B2" s="115" t="s">
        <v>59</v>
      </c>
      <c r="C2" s="115" t="s">
        <v>58</v>
      </c>
      <c r="D2" s="115" t="s">
        <v>58</v>
      </c>
      <c r="E2" s="115" t="s">
        <v>60</v>
      </c>
      <c r="F2" s="115" t="s">
        <v>33</v>
      </c>
      <c r="G2" s="121"/>
      <c r="H2" s="105">
        <f>G2*N2</f>
        <v>0</v>
      </c>
      <c r="I2" s="104"/>
      <c r="J2" s="104"/>
      <c r="K2" s="104"/>
      <c r="L2" s="103"/>
      <c r="M2" s="103"/>
      <c r="N2" s="115">
        <v>312</v>
      </c>
      <c r="O2" s="106" t="s">
        <v>63</v>
      </c>
      <c r="P2" s="115">
        <v>9360</v>
      </c>
      <c r="Q2" s="68" t="s">
        <v>61</v>
      </c>
      <c r="R2" s="89" t="s">
        <v>70</v>
      </c>
      <c r="S2" s="89" t="s">
        <v>29</v>
      </c>
      <c r="T2" s="68" t="s">
        <v>35</v>
      </c>
      <c r="U2" s="89" t="s">
        <v>36</v>
      </c>
      <c r="V2" s="89" t="s">
        <v>30</v>
      </c>
      <c r="W2" s="89" t="s">
        <v>31</v>
      </c>
      <c r="X2" s="89" t="s">
        <v>65</v>
      </c>
      <c r="Y2" s="68" t="s">
        <v>62</v>
      </c>
      <c r="Z2" s="89" t="s">
        <v>34</v>
      </c>
    </row>
  </sheetData>
  <sheetProtection selectLockedCells="1" selectUnlockedCells="1"/>
  <phoneticPr fontId="4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>
  <sheetPr enableFormatConditionsCalculation="0">
    <tabColor indexed="11"/>
  </sheetPr>
  <dimension ref="A1:J7"/>
  <sheetViews>
    <sheetView workbookViewId="0">
      <selection activeCell="B45" sqref="B45"/>
    </sheetView>
  </sheetViews>
  <sheetFormatPr defaultRowHeight="12"/>
  <cols>
    <col min="1" max="1" width="7.33203125" style="19" customWidth="1"/>
    <col min="2" max="2" width="15.33203125" style="18" customWidth="1"/>
    <col min="3" max="3" width="7.33203125" style="19" customWidth="1"/>
    <col min="4" max="4" width="10.77734375" style="18" customWidth="1"/>
    <col min="5" max="5" width="1.5546875" style="54" customWidth="1"/>
    <col min="6" max="6" width="1.77734375" style="54" customWidth="1"/>
    <col min="7" max="7" width="7.33203125" style="54" customWidth="1"/>
    <col min="8" max="8" width="15.33203125" style="54" customWidth="1"/>
    <col min="9" max="9" width="7.33203125" style="54" customWidth="1"/>
    <col min="10" max="10" width="10.77734375" style="55" customWidth="1"/>
    <col min="11" max="16384" width="8.88671875" style="54"/>
  </cols>
  <sheetData>
    <row r="1" spans="1:10" ht="13.7" customHeight="1">
      <c r="A1" s="141" t="s">
        <v>39</v>
      </c>
      <c r="B1" s="141"/>
      <c r="C1" s="56" t="s">
        <v>40</v>
      </c>
      <c r="D1" s="57" t="str">
        <f>'시트2 32품목 스티커'!B2</f>
        <v>51320</v>
      </c>
      <c r="G1" s="141" t="s">
        <v>39</v>
      </c>
      <c r="H1" s="141"/>
      <c r="I1" s="56" t="s">
        <v>40</v>
      </c>
      <c r="J1" s="57" t="e">
        <f>'시트2 32품목 스티커'!#REF!</f>
        <v>#REF!</v>
      </c>
    </row>
    <row r="2" spans="1:10" ht="13.7" customHeight="1">
      <c r="A2" s="58" t="s">
        <v>41</v>
      </c>
      <c r="B2" s="59" t="str">
        <f>'시트2 32품목 스티커'!E2</f>
        <v>암로다정</v>
      </c>
      <c r="C2" s="58" t="s">
        <v>42</v>
      </c>
      <c r="D2" s="60">
        <f>'시트2 32품목 스티커'!N2</f>
        <v>312</v>
      </c>
      <c r="G2" s="58" t="s">
        <v>41</v>
      </c>
      <c r="H2" s="59" t="e">
        <f>'시트2 32품목 스티커'!#REF!</f>
        <v>#REF!</v>
      </c>
      <c r="I2" s="58" t="s">
        <v>42</v>
      </c>
      <c r="J2" s="61" t="e">
        <f>'시트2 32품목 스티커'!#REF!</f>
        <v>#REF!</v>
      </c>
    </row>
    <row r="3" spans="1:10" ht="13.7" customHeight="1">
      <c r="A3" s="58" t="s">
        <v>43</v>
      </c>
      <c r="B3" s="59" t="str">
        <f>'시트2 32품목 스티커'!D2</f>
        <v>(유) 한풍제약</v>
      </c>
      <c r="C3" s="58" t="s">
        <v>44</v>
      </c>
      <c r="D3" s="61">
        <f>'시트2 32품목 스티커'!H2</f>
        <v>0</v>
      </c>
      <c r="G3" s="58" t="s">
        <v>43</v>
      </c>
      <c r="H3" s="59" t="e">
        <f>'시트2 32품목 스티커'!#REF!</f>
        <v>#REF!</v>
      </c>
      <c r="I3" s="58" t="s">
        <v>44</v>
      </c>
      <c r="J3" s="62" t="e">
        <f>'시트2 32품목 스티커'!#REF!</f>
        <v>#REF!</v>
      </c>
    </row>
    <row r="4" spans="1:10" ht="13.7" customHeight="1">
      <c r="A4" s="58" t="s">
        <v>45</v>
      </c>
      <c r="B4" s="59">
        <f>'시트2 32품목 스티커'!J2</f>
        <v>0</v>
      </c>
      <c r="C4" s="58" t="s">
        <v>46</v>
      </c>
      <c r="D4" s="61">
        <f>'시트2 32품목 스티커'!K2</f>
        <v>0</v>
      </c>
      <c r="G4" s="58" t="s">
        <v>45</v>
      </c>
      <c r="H4" s="59" t="e">
        <f>'시트2 32품목 스티커'!#REF!</f>
        <v>#REF!</v>
      </c>
      <c r="I4" s="58" t="s">
        <v>46</v>
      </c>
      <c r="J4" s="61" t="e">
        <f>'시트2 32품목 스티커'!#REF!</f>
        <v>#REF!</v>
      </c>
    </row>
    <row r="5" spans="1:10" ht="13.7" customHeight="1">
      <c r="A5" s="58" t="s">
        <v>11</v>
      </c>
      <c r="B5" s="63">
        <f>'시트2 32품목 스티커'!I2</f>
        <v>0</v>
      </c>
      <c r="C5" s="58" t="s">
        <v>47</v>
      </c>
      <c r="D5" s="61"/>
      <c r="G5" s="58" t="s">
        <v>11</v>
      </c>
      <c r="H5" s="63" t="e">
        <f>'시트2 32품목 스티커'!#REF!</f>
        <v>#REF!</v>
      </c>
      <c r="I5" s="58" t="s">
        <v>47</v>
      </c>
      <c r="J5" s="61"/>
    </row>
    <row r="6" spans="1:10" ht="13.7" customHeight="1">
      <c r="A6" s="58" t="s">
        <v>48</v>
      </c>
      <c r="B6" s="59">
        <f>'시트2 32품목 스티커'!G2</f>
        <v>0</v>
      </c>
      <c r="C6" s="58" t="s">
        <v>49</v>
      </c>
      <c r="D6" s="61"/>
      <c r="G6" s="58" t="s">
        <v>48</v>
      </c>
      <c r="H6" s="59" t="e">
        <f>'시트2 32품목 스티커'!#REF!</f>
        <v>#REF!</v>
      </c>
      <c r="I6" s="58" t="s">
        <v>49</v>
      </c>
      <c r="J6" s="61"/>
    </row>
    <row r="7" spans="1:10" ht="13.7" customHeight="1"/>
  </sheetData>
  <sheetProtection selectLockedCells="1" selectUnlockedCells="1"/>
  <autoFilter ref="A2:J6"/>
  <mergeCells count="2">
    <mergeCell ref="A1:B1"/>
    <mergeCell ref="G1:H1"/>
  </mergeCells>
  <phoneticPr fontId="4" type="noConversion"/>
  <pageMargins left="0.34027777777777779" right="0.22013888888888888" top="0.64027777777777772" bottom="0.22013888888888888" header="0.51180555555555551" footer="0.51180555555555551"/>
  <pageSetup paperSize="9"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시트1</vt:lpstr>
      <vt:lpstr>시트2 32품목 스티커</vt:lpstr>
      <vt:lpstr>시트3 스티커 발행</vt:lpstr>
      <vt:lpstr>Excel_BuiltIn__FilterDatabase_1</vt:lpstr>
      <vt:lpstr>시트1!Print_Area</vt:lpstr>
      <vt:lpstr>시트1!Print_Titles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muhun</dc:creator>
  <cp:lastModifiedBy>User</cp:lastModifiedBy>
  <cp:lastPrinted>2024-07-04T05:04:47Z</cp:lastPrinted>
  <dcterms:created xsi:type="dcterms:W3CDTF">2018-02-12T23:16:54Z</dcterms:created>
  <dcterms:modified xsi:type="dcterms:W3CDTF">2026-06-11T10:35:35Z</dcterms:modified>
</cp:coreProperties>
</file>